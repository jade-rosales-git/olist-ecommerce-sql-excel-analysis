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i\Downloads\"/>
    </mc:Choice>
  </mc:AlternateContent>
  <xr:revisionPtr revIDLastSave="0" documentId="13_ncr:1_{7A81F489-D164-45E7-B365-E7D416A8793F}" xr6:coauthVersionLast="47" xr6:coauthVersionMax="47" xr10:uidLastSave="{00000000-0000-0000-0000-000000000000}"/>
  <bookViews>
    <workbookView xWindow="-120" yWindow="-120" windowWidth="29040" windowHeight="15720" xr2:uid="{490E1E88-5DB1-4A5A-B52F-FA60CF747041}"/>
  </bookViews>
  <sheets>
    <sheet name="Overview" sheetId="5" r:id="rId1"/>
    <sheet name="Insights" sheetId="6" r:id="rId2"/>
    <sheet name="Monthly revenue over time" sheetId="1" r:id="rId3"/>
    <sheet name="Top 10 categories by revenue" sheetId="2" r:id="rId4"/>
    <sheet name="Late deliveries vs review score" sheetId="3" r:id="rId5"/>
    <sheet name="Revenue by customer stat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4" l="1"/>
  <c r="E2" i="4"/>
  <c r="E6" i="1"/>
  <c r="E2" i="1"/>
  <c r="E2" i="3"/>
</calcChain>
</file>

<file path=xl/sharedStrings.xml><?xml version="1.0" encoding="utf-8"?>
<sst xmlns="http://schemas.openxmlformats.org/spreadsheetml/2006/main" count="93" uniqueCount="89">
  <si>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</si>
  <si>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</si>
  <si>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</si>
  <si>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</si>
  <si>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</si>
  <si>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</si>
  <si>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</si>
  <si>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</si>
  <si>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</si>
  <si>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</si>
  <si>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</si>
  <si>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</si>
  <si>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</si>
  <si>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</si>
  <si>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</si>
  <si>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</si>
  <si>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</si>
  <si>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</si>
  <si>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</si>
  <si>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</si>
  <si>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</si>
  <si>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</si>
  <si>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</si>
  <si>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month</t>
  </si>
  <si>
    <t>revenue</t>
  </si>
  <si>
    <t>orders</t>
  </si>
  <si>
    <t>category</t>
  </si>
  <si>
    <t>delivery</t>
  </si>
  <si>
    <t>avg_review_score</t>
  </si>
  <si>
    <t>Late</t>
  </si>
  <si>
    <t>On time</t>
  </si>
  <si>
    <t>customer_state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</si>
  <si>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</si>
  <si>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</si>
  <si>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</si>
  <si>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</si>
  <si>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</si>
  <si>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</si>
  <si>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</si>
  <si>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</si>
  <si>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</si>
  <si>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</si>
  <si>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</si>
  <si>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</si>
  <si>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</si>
  <si>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</si>
  <si>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</si>
  <si>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</si>
  <si>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</si>
  <si>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</si>
  <si>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</si>
  <si>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</si>
  <si>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</si>
  <si>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</si>
  <si>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</si>
  <si>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</si>
  <si>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</si>
  <si>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</si>
  <si>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</si>
  <si>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Health &amp; Beauty</t>
  </si>
  <si>
    <t>Watches &amp; Gifts</t>
  </si>
  <si>
    <t>Bed &amp; Bath</t>
  </si>
  <si>
    <t>Sports &amp; Leisure</t>
  </si>
  <si>
    <t>Computers &amp; Accessories</t>
  </si>
  <si>
    <t>Furniture &amp; Decor</t>
  </si>
  <si>
    <t>Cool Stuff</t>
  </si>
  <si>
    <t>Housewares</t>
  </si>
  <si>
    <t>Auto</t>
  </si>
  <si>
    <t>Garden Tools</t>
  </si>
  <si>
    <t>Olist E-Commerce Performance Dashboard (2017 to 2018)</t>
  </si>
  <si>
    <t>Source: Brazilian E-Commerce Public Dataset by Olist, Kaggle</t>
  </si>
  <si>
    <t>Delivered orders only. Revenue is product price in BRL, excluding shipping.</t>
  </si>
  <si>
    <t>Key Findings</t>
  </si>
  <si>
    <t>Recommendations</t>
  </si>
  <si>
    <t>Olist E-Commerce Analysis: Key Insights</t>
  </si>
  <si>
    <t>Delivered orders only. Revenue is product price in R$, excluding shipping.</t>
  </si>
  <si>
    <t>1. Late deliveries hurt reviews: late orders average 2.27 stars vs 4.29 for on-time orders, though only 6.7% of orders were late.</t>
  </si>
  <si>
    <t>2. Revenue grew fast: Jan to Jul 2018 revenue was about 2.6x the same period in 2017.</t>
  </si>
  <si>
    <t>3. November is the peak: revenue jumped 52% from Oct to Nov 2017, likely due to Black Friday.</t>
  </si>
  <si>
    <t>4. Sales are concentrated: São Paulo brings in 38% of revenue, and the top 3 states (SP, RJ, MG) bring in 63%.</t>
  </si>
  <si>
    <t>1. Fix delivery reliability first: review late orders by seller and region, and set more realistic delivery estimates.</t>
  </si>
  <si>
    <t>2. Prepare for November: plan stock, staff, and shipping ahead of Black Friday so peak sales don’t bring more late orders.</t>
  </si>
  <si>
    <t>3. Grow beyond São Paulo: test marketing or faster shipping in smaller states to reduce reliance on SP.</t>
  </si>
  <si>
    <t>share of orders that were late</t>
  </si>
  <si>
    <t>revenue growth</t>
  </si>
  <si>
    <t>October to November jump</t>
  </si>
  <si>
    <t>São Paulo’s share</t>
  </si>
  <si>
    <t>top 3 states’ share</t>
  </si>
  <si>
    <t>5. A few categories lead: Health &amp; Beauty, Watches &amp; Gifts, and Bed &amp; Bath each brought in over R$1M in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</si>
</sst>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&quot;$&quot;#,##0.00"/>
    <numFmt numFmtId="167" formatCode="_-&quot;$&quot;* #,##0.00_-;\-&quot;$&quot;* #,##0.00_-;_-&quot;$&quot;* &quot;-&quot;??_-;_-@_-"/>
    <numFmt numFmtId="169" formatCode="0.0%"/>
    <numFmt numFmtId="178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  <font>
      <b/>
      <sz val="20"/>
      <color theme="1"/>
      <name val="Aptos Narrow"/>
      <family val="2"/>
      <scheme val="minor"/>
    </font>
    <font>
      <i/>
      <sz val="11"/>
      <color theme="1" tint="0.34998626667073579"/>
      <name val="Aptos Narrow"/>
      <family val="2"/>
      <scheme val="minor"/>
    </font>
    <font>
      <i/>
      <sz val="10"/>
      <color theme="1" tint="0.34998626667073579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5" applyNumberFormat="0" applyAlignment="0" applyProtection="0"/>
    <xf numFmtId="0" fontId="15" fillId="7" borderId="6" applyNumberFormat="0" applyAlignment="0" applyProtection="0"/>
    <xf numFmtId="0" fontId="16" fillId="7" borderId="5" applyNumberFormat="0" applyAlignment="0" applyProtection="0"/>
    <xf numFmtId="0" fontId="17" fillId="0" borderId="7" applyNumberFormat="0" applyFill="0" applyAlignment="0" applyProtection="0"/>
    <xf numFmtId="0" fontId="18" fillId="8" borderId="8" applyNumberFormat="0" applyAlignment="0" applyProtection="0"/>
    <xf numFmtId="0" fontId="19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167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2" fillId="0" borderId="1" xfId="1" applyNumberFormat="1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left" vertical="center"/>
    </xf>
    <xf numFmtId="164" fontId="0" fillId="0" borderId="0" xfId="1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0" xfId="0" applyFont="1" applyAlignment="1"/>
    <xf numFmtId="0" fontId="4" fillId="0" borderId="0" xfId="0" applyFont="1" applyAlignment="1"/>
    <xf numFmtId="169" fontId="0" fillId="0" borderId="0" xfId="2" applyNumberFormat="1" applyFont="1"/>
    <xf numFmtId="9" fontId="0" fillId="0" borderId="0" xfId="2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78" fontId="0" fillId="0" borderId="0" xfId="0" applyNumberFormat="1"/>
    <xf numFmtId="0" fontId="0" fillId="0" borderId="0" xfId="0" applyAlignmen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Currency 2" xfId="44" xr:uid="{D2432103-2D52-49E4-8488-E3910BE70536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Monthly</a:t>
            </a:r>
            <a:r>
              <a:rPr lang="en-US" sz="1600" b="1" baseline="0">
                <a:solidFill>
                  <a:sysClr val="windowText" lastClr="000000"/>
                </a:solidFill>
              </a:rPr>
              <a:t> R</a:t>
            </a:r>
            <a:r>
              <a:rPr lang="en-US" sz="1600" b="1">
                <a:solidFill>
                  <a:sysClr val="windowText" lastClr="000000"/>
                </a:solidFill>
              </a:rPr>
              <a:t>evenue (Jan 2017 to Aug 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 over time'!$B$1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 over time'!$A$5:$A$24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'Monthly revenue over time'!$B$5:$B$24</c:f>
              <c:numCache>
                <c:formatCode>"$"#,##0.00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9D-4375-94A5-8AEC5B9C7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172560"/>
        <c:axId val="1569170640"/>
      </c:lineChart>
      <c:catAx>
        <c:axId val="156917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170640"/>
        <c:crosses val="autoZero"/>
        <c:auto val="1"/>
        <c:lblAlgn val="ctr"/>
        <c:lblOffset val="100"/>
        <c:noMultiLvlLbl val="0"/>
      </c:catAx>
      <c:valAx>
        <c:axId val="15691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17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Top</a:t>
            </a:r>
            <a:r>
              <a:rPr lang="en-US" sz="1600" b="1" baseline="0">
                <a:solidFill>
                  <a:sysClr val="windowText" lastClr="000000"/>
                </a:solidFill>
              </a:rPr>
              <a:t> 10 Product Categories by R</a:t>
            </a:r>
            <a:r>
              <a:rPr lang="en-US" sz="1600" b="1">
                <a:solidFill>
                  <a:sysClr val="windowText" lastClr="000000"/>
                </a:solidFill>
              </a:rPr>
              <a:t>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categories by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categories by revenue'!$A$2:$A$11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 &amp; Bath</c:v>
                </c:pt>
                <c:pt idx="3">
                  <c:v>Sports &amp; Leisure</c:v>
                </c:pt>
                <c:pt idx="4">
                  <c:v>Computers &amp; Accessories</c:v>
                </c:pt>
                <c:pt idx="5">
                  <c:v>Furniture &amp; Decor</c:v>
                </c:pt>
                <c:pt idx="6">
                  <c:v>Cool 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 Tools</c:v>
                </c:pt>
              </c:strCache>
            </c:strRef>
          </c:cat>
          <c:val>
            <c:numRef>
              <c:f>'Top 10 categories by revenue'!$B$2:$B$11</c:f>
              <c:numCache>
                <c:formatCode>"$"#,##0.00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F-43EE-AA9C-62304FD501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9198000"/>
        <c:axId val="1569194160"/>
      </c:barChart>
      <c:catAx>
        <c:axId val="1569198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194160"/>
        <c:crosses val="autoZero"/>
        <c:auto val="1"/>
        <c:lblAlgn val="ctr"/>
        <c:lblOffset val="100"/>
        <c:noMultiLvlLbl val="0"/>
      </c:catAx>
      <c:valAx>
        <c:axId val="156919416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56919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Late Deliveries Get Worse Reviews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 deliveries vs review score'!$C$1</c:f>
              <c:strCache>
                <c:ptCount val="1"/>
                <c:pt idx="0">
                  <c:v>avg_review_score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23-40E6-9227-46C3887084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'Late deliveries vs review score'!$A$2:$A$3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'Late deliveries vs review score'!$C$2:$C$3</c:f>
              <c:numCache>
                <c:formatCode>General</c:formatCode>
                <c:ptCount val="2"/>
                <c:pt idx="0">
                  <c:v>2.27</c:v>
                </c:pt>
                <c:pt idx="1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3-40E6-9227-46C388708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9226800"/>
        <c:axId val="1569223920"/>
      </c:barChart>
      <c:catAx>
        <c:axId val="15692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223920"/>
        <c:crosses val="autoZero"/>
        <c:auto val="1"/>
        <c:lblAlgn val="ctr"/>
        <c:lblOffset val="100"/>
        <c:noMultiLvlLbl val="0"/>
      </c:catAx>
      <c:valAx>
        <c:axId val="156922392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22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Top</a:t>
            </a:r>
            <a:r>
              <a:rPr lang="en-US" sz="1600" b="1" baseline="0">
                <a:solidFill>
                  <a:sysClr val="windowText" lastClr="000000"/>
                </a:solidFill>
              </a:rPr>
              <a:t> 10 States by R</a:t>
            </a:r>
            <a:r>
              <a:rPr lang="en-US" sz="1600" b="1">
                <a:solidFill>
                  <a:sysClr val="windowText" lastClr="000000"/>
                </a:solidFill>
              </a:rPr>
              <a:t>evenue</a:t>
            </a:r>
          </a:p>
        </c:rich>
      </c:tx>
      <c:layout>
        <c:manualLayout>
          <c:xMode val="edge"/>
          <c:yMode val="edge"/>
          <c:x val="0.35940684600915312"/>
          <c:y val="1.7983574058340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customer state'!$B$1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customer state'!$A$2:$A$11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'Revenue by customer state'!$B$2:$B$11</c:f>
              <c:numCache>
                <c:formatCode>"$"#,##0.00</c:formatCode>
                <c:ptCount val="10"/>
                <c:pt idx="0">
                  <c:v>5067633.16</c:v>
                </c:pt>
                <c:pt idx="1">
                  <c:v>1759651.13</c:v>
                </c:pt>
                <c:pt idx="2">
                  <c:v>1552481.83</c:v>
                </c:pt>
                <c:pt idx="3">
                  <c:v>728897.47</c:v>
                </c:pt>
                <c:pt idx="4">
                  <c:v>666063.51</c:v>
                </c:pt>
                <c:pt idx="5">
                  <c:v>507012.13</c:v>
                </c:pt>
                <c:pt idx="6">
                  <c:v>493584.14</c:v>
                </c:pt>
                <c:pt idx="7">
                  <c:v>296498.40999999997</c:v>
                </c:pt>
                <c:pt idx="8">
                  <c:v>282836.7</c:v>
                </c:pt>
                <c:pt idx="9">
                  <c:v>268643.45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0-4390-8C8B-278A8853F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191280"/>
        <c:axId val="1569191760"/>
      </c:barChart>
      <c:catAx>
        <c:axId val="1569191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191760"/>
        <c:crosses val="autoZero"/>
        <c:auto val="1"/>
        <c:lblAlgn val="ctr"/>
        <c:lblOffset val="100"/>
        <c:noMultiLvlLbl val="0"/>
      </c:catAx>
      <c:valAx>
        <c:axId val="156919176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5691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Monthly</a:t>
            </a:r>
            <a:r>
              <a:rPr lang="en-US" sz="1600" b="1" baseline="0">
                <a:solidFill>
                  <a:sysClr val="windowText" lastClr="000000"/>
                </a:solidFill>
              </a:rPr>
              <a:t> R</a:t>
            </a:r>
            <a:r>
              <a:rPr lang="en-US" sz="1600" b="1">
                <a:solidFill>
                  <a:sysClr val="windowText" lastClr="000000"/>
                </a:solidFill>
              </a:rPr>
              <a:t>evenue (Jan 2017 to Aug 2018)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 over time'!$B$1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 over time'!$A$5:$A$24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'Monthly revenue over time'!$B$5:$B$24</c:f>
              <c:numCache>
                <c:formatCode>"$"#,##0.00</c:formatCode>
                <c:ptCount val="20"/>
                <c:pt idx="0">
                  <c:v>111798.36</c:v>
                </c:pt>
                <c:pt idx="1">
                  <c:v>234223.4</c:v>
                </c:pt>
                <c:pt idx="2">
                  <c:v>359198.85</c:v>
                </c:pt>
                <c:pt idx="3">
                  <c:v>340669.68</c:v>
                </c:pt>
                <c:pt idx="4">
                  <c:v>489338.25</c:v>
                </c:pt>
                <c:pt idx="5">
                  <c:v>421923.37</c:v>
                </c:pt>
                <c:pt idx="6">
                  <c:v>481604.52</c:v>
                </c:pt>
                <c:pt idx="7">
                  <c:v>554699.69999999995</c:v>
                </c:pt>
                <c:pt idx="8">
                  <c:v>607399.67000000004</c:v>
                </c:pt>
                <c:pt idx="9">
                  <c:v>648247.65</c:v>
                </c:pt>
                <c:pt idx="10">
                  <c:v>987765.37</c:v>
                </c:pt>
                <c:pt idx="11">
                  <c:v>726033.19</c:v>
                </c:pt>
                <c:pt idx="12">
                  <c:v>924645</c:v>
                </c:pt>
                <c:pt idx="13">
                  <c:v>826437.13</c:v>
                </c:pt>
                <c:pt idx="14">
                  <c:v>953356.25</c:v>
                </c:pt>
                <c:pt idx="15">
                  <c:v>973534.09</c:v>
                </c:pt>
                <c:pt idx="16">
                  <c:v>977544.69</c:v>
                </c:pt>
                <c:pt idx="17">
                  <c:v>856077.86</c:v>
                </c:pt>
                <c:pt idx="18">
                  <c:v>867953.46</c:v>
                </c:pt>
                <c:pt idx="19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6-4993-9B90-B7FA89359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172560"/>
        <c:axId val="1569170640"/>
      </c:lineChart>
      <c:catAx>
        <c:axId val="156917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170640"/>
        <c:crosses val="autoZero"/>
        <c:auto val="1"/>
        <c:lblAlgn val="ctr"/>
        <c:lblOffset val="100"/>
        <c:noMultiLvlLbl val="0"/>
      </c:catAx>
      <c:valAx>
        <c:axId val="15691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BB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17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Top</a:t>
            </a:r>
            <a:r>
              <a:rPr lang="en-US" sz="1600" b="1" baseline="0">
                <a:solidFill>
                  <a:sysClr val="windowText" lastClr="000000"/>
                </a:solidFill>
              </a:rPr>
              <a:t> 10 Product Categories by R</a:t>
            </a:r>
            <a:r>
              <a:rPr lang="en-US" sz="1600" b="1">
                <a:solidFill>
                  <a:sysClr val="windowText" lastClr="000000"/>
                </a:solidFill>
              </a:rPr>
              <a:t>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categories by revenue'!$B$1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categories by revenue'!$A$2:$A$11</c:f>
              <c:strCache>
                <c:ptCount val="10"/>
                <c:pt idx="0">
                  <c:v>Health &amp; Beauty</c:v>
                </c:pt>
                <c:pt idx="1">
                  <c:v>Watches &amp; Gifts</c:v>
                </c:pt>
                <c:pt idx="2">
                  <c:v>Bed &amp; Bath</c:v>
                </c:pt>
                <c:pt idx="3">
                  <c:v>Sports &amp; Leisure</c:v>
                </c:pt>
                <c:pt idx="4">
                  <c:v>Computers &amp; Accessories</c:v>
                </c:pt>
                <c:pt idx="5">
                  <c:v>Furniture &amp; Decor</c:v>
                </c:pt>
                <c:pt idx="6">
                  <c:v>Cool 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 Tools</c:v>
                </c:pt>
              </c:strCache>
            </c:strRef>
          </c:cat>
          <c:val>
            <c:numRef>
              <c:f>'Top 10 categories by revenue'!$B$2:$B$11</c:f>
              <c:numCache>
                <c:formatCode>"$"#,##0.00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6-413A-9B15-A9E6A80900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9198000"/>
        <c:axId val="1569194160"/>
      </c:barChart>
      <c:catAx>
        <c:axId val="1569198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194160"/>
        <c:crosses val="autoZero"/>
        <c:auto val="1"/>
        <c:lblAlgn val="ctr"/>
        <c:lblOffset val="100"/>
        <c:noMultiLvlLbl val="0"/>
      </c:catAx>
      <c:valAx>
        <c:axId val="156919416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56919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Late Deliveries Get Worse Reviews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 deliveries vs review score'!$C$1</c:f>
              <c:strCache>
                <c:ptCount val="1"/>
                <c:pt idx="0">
                  <c:v>avg_review_score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E5-43B3-AA88-B7B1DA111B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'Late deliveries vs review score'!$A$2:$A$3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'Late deliveries vs review score'!$C$2:$C$3</c:f>
              <c:numCache>
                <c:formatCode>General</c:formatCode>
                <c:ptCount val="2"/>
                <c:pt idx="0">
                  <c:v>2.27</c:v>
                </c:pt>
                <c:pt idx="1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5-43B3-AA88-B7B1DA111B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9226800"/>
        <c:axId val="1569223920"/>
      </c:barChart>
      <c:catAx>
        <c:axId val="156922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223920"/>
        <c:crosses val="autoZero"/>
        <c:auto val="1"/>
        <c:lblAlgn val="ctr"/>
        <c:lblOffset val="100"/>
        <c:noMultiLvlLbl val="0"/>
      </c:catAx>
      <c:valAx>
        <c:axId val="1569223920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22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Top</a:t>
            </a:r>
            <a:r>
              <a:rPr lang="en-US" sz="1600" b="1" baseline="0">
                <a:solidFill>
                  <a:sysClr val="windowText" lastClr="000000"/>
                </a:solidFill>
              </a:rPr>
              <a:t> 10 States By R</a:t>
            </a:r>
            <a:r>
              <a:rPr lang="en-US" sz="1600" b="1">
                <a:solidFill>
                  <a:sysClr val="windowText" lastClr="000000"/>
                </a:solidFill>
              </a:rPr>
              <a:t>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B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customer state'!$B$1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BB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customer state'!$A$2:$A$11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'Revenue by customer state'!$B$2:$B$11</c:f>
              <c:numCache>
                <c:formatCode>"$"#,##0.00</c:formatCode>
                <c:ptCount val="10"/>
                <c:pt idx="0">
                  <c:v>5067633.16</c:v>
                </c:pt>
                <c:pt idx="1">
                  <c:v>1759651.13</c:v>
                </c:pt>
                <c:pt idx="2">
                  <c:v>1552481.83</c:v>
                </c:pt>
                <c:pt idx="3">
                  <c:v>728897.47</c:v>
                </c:pt>
                <c:pt idx="4">
                  <c:v>666063.51</c:v>
                </c:pt>
                <c:pt idx="5">
                  <c:v>507012.13</c:v>
                </c:pt>
                <c:pt idx="6">
                  <c:v>493584.14</c:v>
                </c:pt>
                <c:pt idx="7">
                  <c:v>296498.40999999997</c:v>
                </c:pt>
                <c:pt idx="8">
                  <c:v>282836.7</c:v>
                </c:pt>
                <c:pt idx="9">
                  <c:v>268643.45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C-4785-B5BB-4C8AF7729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191280"/>
        <c:axId val="1569191760"/>
      </c:barChart>
      <c:catAx>
        <c:axId val="15691912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BB"/>
          </a:p>
        </c:txPr>
        <c:crossAx val="1569191760"/>
        <c:crosses val="autoZero"/>
        <c:auto val="1"/>
        <c:lblAlgn val="ctr"/>
        <c:lblOffset val="100"/>
        <c:noMultiLvlLbl val="0"/>
      </c:catAx>
      <c:valAx>
        <c:axId val="156919176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5691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B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56695</xdr:colOff>
      <xdr:row>3</xdr:row>
      <xdr:rowOff>34018</xdr:rowOff>
    </xdr:from>
    <xdr:to>
      <xdr:col>12</xdr:col>
      <xdr:colOff>330038</xdr:colOff>
      <xdr:row>25</xdr:row>
      <xdr:rowOff>80218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2AD456-CC3F-4301-A84D-4038BC3D9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56695</xdr:colOff>
      <xdr:row>25</xdr:row>
      <xdr:rowOff>152400</xdr:rowOff>
    </xdr:from>
    <xdr:to>
      <xdr:col>12</xdr:col>
      <xdr:colOff>328838</xdr:colOff>
      <xdr:row>48</xdr:row>
      <xdr:rowOff>7288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97D0BE-0A27-4505-A2CF-FAEA8D012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409575</xdr:colOff>
      <xdr:row>3</xdr:row>
      <xdr:rowOff>34018</xdr:rowOff>
    </xdr:from>
    <xdr:to>
      <xdr:col>25</xdr:col>
      <xdr:colOff>70596</xdr:colOff>
      <xdr:row>25</xdr:row>
      <xdr:rowOff>80218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4D589E-5461-4ECA-AE8B-EFE2484EB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409575</xdr:colOff>
      <xdr:row>25</xdr:row>
      <xdr:rowOff>152400</xdr:rowOff>
    </xdr:from>
    <xdr:to>
      <xdr:col>25</xdr:col>
      <xdr:colOff>70596</xdr:colOff>
      <xdr:row>48</xdr:row>
      <xdr:rowOff>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CACB02-8F9C-4BD1-8DD0-2F46EBD9F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8</xdr:col>
      <xdr:colOff>561975</xdr:colOff>
      <xdr:row>42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9C70A-09D7-B4D6-8518-1AA229A02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4761</xdr:rowOff>
    </xdr:from>
    <xdr:to>
      <xdr:col>9</xdr:col>
      <xdr:colOff>571501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3A019-3C83-88EE-9A9B-B4BD85567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9</xdr:col>
      <xdr:colOff>342900</xdr:colOff>
      <xdr:row>24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3E7BF-94EF-66EB-9C3C-30A145560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171450</xdr:rowOff>
    </xdr:from>
    <xdr:to>
      <xdr:col>10</xdr:col>
      <xdr:colOff>0</xdr:colOff>
      <xdr:row>49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9B551-C855-5ADA-076F-DADCFCB76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B5EF-9B55-4877-AC4C-F01D4B775CB3}">
  <dimension ref="A1:K3"/>
  <sheetViews>
    <sheetView showGridLines="0" tabSelected="1" zoomScaleNormal="100" workbookViewId="0">
      <selection sqref="A1:K1"/>
    </sheetView>
  </sheetViews>
  <sheetFormatPr defaultRowHeight="15" x14ac:dyDescent="0.25"/>
  <sheetData>
    <row r="1" spans="1:11" ht="26.25" x14ac:dyDescent="0.4">
      <c r="A1" s="9" t="s">
        <v>69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0" t="s">
        <v>70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x14ac:dyDescent="0.25">
      <c r="A3" s="11" t="s">
        <v>71</v>
      </c>
      <c r="B3" s="11"/>
      <c r="C3" s="11"/>
      <c r="D3" s="11"/>
      <c r="E3" s="11"/>
      <c r="F3" s="11"/>
      <c r="G3" s="11"/>
      <c r="H3" s="11"/>
      <c r="I3" s="11"/>
      <c r="J3" s="11"/>
    </row>
  </sheetData>
  <mergeCells count="3">
    <mergeCell ref="A1:K1"/>
    <mergeCell ref="A2:J2"/>
    <mergeCell ref="A3: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1903-8748-4E50-B28A-45149B1C81D0}">
  <dimension ref="B2:F15"/>
  <sheetViews>
    <sheetView showGridLines="0" workbookViewId="0"/>
  </sheetViews>
  <sheetFormatPr defaultRowHeight="15" x14ac:dyDescent="0.25"/>
  <cols>
    <col min="2" max="2" width="115.28515625" bestFit="1" customWidth="1"/>
    <col min="5" max="5" width="8.7109375" bestFit="1" customWidth="1"/>
  </cols>
  <sheetData>
    <row r="2" spans="2:6" ht="26.25" x14ac:dyDescent="0.4">
      <c r="B2" s="13" t="s">
        <v>74</v>
      </c>
      <c r="C2" s="23"/>
      <c r="D2" s="23"/>
      <c r="E2" s="23"/>
      <c r="F2" s="23"/>
    </row>
    <row r="3" spans="2:6" x14ac:dyDescent="0.25">
      <c r="B3" s="19" t="s">
        <v>75</v>
      </c>
      <c r="C3" s="19"/>
      <c r="D3" s="19"/>
      <c r="E3" s="23"/>
      <c r="F3" s="23"/>
    </row>
    <row r="4" spans="2:6" x14ac:dyDescent="0.25">
      <c r="B4" s="23"/>
      <c r="C4" s="23"/>
      <c r="D4" s="23"/>
      <c r="E4" s="23"/>
      <c r="F4" s="23"/>
    </row>
    <row r="5" spans="2:6" ht="21" x14ac:dyDescent="0.35">
      <c r="B5" s="12" t="s">
        <v>72</v>
      </c>
      <c r="C5" s="23"/>
      <c r="D5" s="23"/>
      <c r="E5" s="23"/>
      <c r="F5" s="23"/>
    </row>
    <row r="6" spans="2:6" x14ac:dyDescent="0.25">
      <c r="B6" t="s">
        <v>76</v>
      </c>
      <c r="C6" s="18"/>
      <c r="D6" s="18"/>
      <c r="E6" s="18"/>
      <c r="F6" s="23"/>
    </row>
    <row r="7" spans="2:6" x14ac:dyDescent="0.25">
      <c r="B7" s="20" t="s">
        <v>77</v>
      </c>
      <c r="C7" s="20"/>
      <c r="D7" s="20"/>
      <c r="E7" s="20"/>
      <c r="F7" s="23"/>
    </row>
    <row r="8" spans="2:6" x14ac:dyDescent="0.25">
      <c r="B8" t="s">
        <v>78</v>
      </c>
      <c r="C8" s="20"/>
      <c r="D8" s="20"/>
      <c r="E8" s="20"/>
      <c r="F8" s="23"/>
    </row>
    <row r="9" spans="2:6" x14ac:dyDescent="0.25">
      <c r="B9" t="s">
        <v>79</v>
      </c>
      <c r="C9" s="20"/>
      <c r="D9" s="20"/>
      <c r="E9" s="20"/>
      <c r="F9" s="23"/>
    </row>
    <row r="10" spans="2:6" x14ac:dyDescent="0.25">
      <c r="B10" t="s">
        <v>88</v>
      </c>
      <c r="C10" s="20"/>
      <c r="D10" s="20"/>
      <c r="E10" s="20"/>
      <c r="F10" s="23"/>
    </row>
    <row r="11" spans="2:6" x14ac:dyDescent="0.25">
      <c r="B11" s="20"/>
      <c r="C11" s="20"/>
      <c r="D11" s="20"/>
      <c r="E11" s="20"/>
      <c r="F11" s="23"/>
    </row>
    <row r="12" spans="2:6" ht="21" x14ac:dyDescent="0.35">
      <c r="B12" s="12" t="s">
        <v>73</v>
      </c>
      <c r="C12" s="23"/>
      <c r="D12" s="23"/>
      <c r="E12" s="23"/>
      <c r="F12" s="23"/>
    </row>
    <row r="13" spans="2:6" x14ac:dyDescent="0.25">
      <c r="B13" t="s">
        <v>80</v>
      </c>
    </row>
    <row r="14" spans="2:6" x14ac:dyDescent="0.25">
      <c r="B14" t="s">
        <v>81</v>
      </c>
    </row>
    <row r="15" spans="2:6" x14ac:dyDescent="0.25">
      <c r="B15" t="s">
        <v>82</v>
      </c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283B-D837-4EAD-B01E-A5AEE6646B8D}">
  <dimension ref="A1:E24"/>
  <sheetViews>
    <sheetView workbookViewId="0"/>
  </sheetViews>
  <sheetFormatPr defaultRowHeight="15" x14ac:dyDescent="0.25"/>
  <cols>
    <col min="1" max="1" width="9" bestFit="1" customWidth="1"/>
    <col min="2" max="2" width="13.7109375" style="5" bestFit="1" customWidth="1"/>
    <col min="3" max="3" width="6.85546875" bestFit="1" customWidth="1"/>
  </cols>
  <sheetData>
    <row r="1" spans="1:5" x14ac:dyDescent="0.25">
      <c r="A1" s="1" t="s">
        <v>23</v>
      </c>
      <c r="B1" s="3" t="s">
        <v>24</v>
      </c>
      <c r="C1" s="1" t="s">
        <v>25</v>
      </c>
      <c r="E1" s="21" t="s">
        <v>84</v>
      </c>
    </row>
    <row r="2" spans="1:5" x14ac:dyDescent="0.25">
      <c r="A2" s="2" t="s">
        <v>0</v>
      </c>
      <c r="B2" s="4">
        <v>134.97</v>
      </c>
      <c r="C2" s="2">
        <v>1</v>
      </c>
      <c r="E2" s="22">
        <f>SUM(B17:B23)/SUM(B5:B11)</f>
        <v>2.6159022695021661</v>
      </c>
    </row>
    <row r="3" spans="1:5" x14ac:dyDescent="0.25">
      <c r="A3" s="2" t="s">
        <v>1</v>
      </c>
      <c r="B3" s="4">
        <v>40325.11</v>
      </c>
      <c r="C3" s="2">
        <v>265</v>
      </c>
    </row>
    <row r="4" spans="1:5" x14ac:dyDescent="0.25">
      <c r="A4" s="2" t="s">
        <v>2</v>
      </c>
      <c r="B4" s="4">
        <v>10.9</v>
      </c>
      <c r="C4" s="2">
        <v>1</v>
      </c>
    </row>
    <row r="5" spans="1:5" x14ac:dyDescent="0.25">
      <c r="A5" s="2" t="s">
        <v>3</v>
      </c>
      <c r="B5" s="4">
        <v>111798.36</v>
      </c>
      <c r="C5" s="2">
        <v>750</v>
      </c>
      <c r="E5" s="21" t="s">
        <v>85</v>
      </c>
    </row>
    <row r="6" spans="1:5" x14ac:dyDescent="0.25">
      <c r="A6" s="2" t="s">
        <v>4</v>
      </c>
      <c r="B6" s="4">
        <v>234223.4</v>
      </c>
      <c r="C6" s="2">
        <v>1653</v>
      </c>
      <c r="E6" s="15">
        <f>(B15-B14)/B14</f>
        <v>0.52374693529548466</v>
      </c>
    </row>
    <row r="7" spans="1:5" x14ac:dyDescent="0.25">
      <c r="A7" s="2" t="s">
        <v>5</v>
      </c>
      <c r="B7" s="4">
        <v>359198.85</v>
      </c>
      <c r="C7" s="2">
        <v>2546</v>
      </c>
    </row>
    <row r="8" spans="1:5" x14ac:dyDescent="0.25">
      <c r="A8" s="2" t="s">
        <v>6</v>
      </c>
      <c r="B8" s="4">
        <v>340669.68</v>
      </c>
      <c r="C8" s="2">
        <v>2303</v>
      </c>
    </row>
    <row r="9" spans="1:5" x14ac:dyDescent="0.25">
      <c r="A9" s="2" t="s">
        <v>7</v>
      </c>
      <c r="B9" s="4">
        <v>489338.25</v>
      </c>
      <c r="C9" s="2">
        <v>3546</v>
      </c>
    </row>
    <row r="10" spans="1:5" x14ac:dyDescent="0.25">
      <c r="A10" s="2" t="s">
        <v>8</v>
      </c>
      <c r="B10" s="4">
        <v>421923.37</v>
      </c>
      <c r="C10" s="2">
        <v>3135</v>
      </c>
    </row>
    <row r="11" spans="1:5" x14ac:dyDescent="0.25">
      <c r="A11" s="2" t="s">
        <v>9</v>
      </c>
      <c r="B11" s="4">
        <v>481604.52</v>
      </c>
      <c r="C11" s="2">
        <v>3872</v>
      </c>
    </row>
    <row r="12" spans="1:5" x14ac:dyDescent="0.25">
      <c r="A12" s="2" t="s">
        <v>10</v>
      </c>
      <c r="B12" s="4">
        <v>554699.69999999995</v>
      </c>
      <c r="C12" s="2">
        <v>4193</v>
      </c>
    </row>
    <row r="13" spans="1:5" x14ac:dyDescent="0.25">
      <c r="A13" s="2" t="s">
        <v>11</v>
      </c>
      <c r="B13" s="4">
        <v>607399.67000000004</v>
      </c>
      <c r="C13" s="2">
        <v>4150</v>
      </c>
    </row>
    <row r="14" spans="1:5" x14ac:dyDescent="0.25">
      <c r="A14" s="2" t="s">
        <v>12</v>
      </c>
      <c r="B14" s="4">
        <v>648247.65</v>
      </c>
      <c r="C14" s="2">
        <v>4478</v>
      </c>
    </row>
    <row r="15" spans="1:5" x14ac:dyDescent="0.25">
      <c r="A15" s="2" t="s">
        <v>13</v>
      </c>
      <c r="B15" s="4">
        <v>987765.37</v>
      </c>
      <c r="C15" s="2">
        <v>7289</v>
      </c>
    </row>
    <row r="16" spans="1:5" x14ac:dyDescent="0.25">
      <c r="A16" s="2" t="s">
        <v>14</v>
      </c>
      <c r="B16" s="4">
        <v>726033.19</v>
      </c>
      <c r="C16" s="2">
        <v>5513</v>
      </c>
    </row>
    <row r="17" spans="1:3" x14ac:dyDescent="0.25">
      <c r="A17" s="2" t="s">
        <v>15</v>
      </c>
      <c r="B17" s="4">
        <v>924645</v>
      </c>
      <c r="C17" s="2">
        <v>7069</v>
      </c>
    </row>
    <row r="18" spans="1:3" x14ac:dyDescent="0.25">
      <c r="A18" s="2" t="s">
        <v>16</v>
      </c>
      <c r="B18" s="4">
        <v>826437.13</v>
      </c>
      <c r="C18" s="2">
        <v>6555</v>
      </c>
    </row>
    <row r="19" spans="1:3" x14ac:dyDescent="0.25">
      <c r="A19" s="2" t="s">
        <v>17</v>
      </c>
      <c r="B19" s="4">
        <v>953356.25</v>
      </c>
      <c r="C19" s="2">
        <v>7003</v>
      </c>
    </row>
    <row r="20" spans="1:3" x14ac:dyDescent="0.25">
      <c r="A20" s="2" t="s">
        <v>18</v>
      </c>
      <c r="B20" s="4">
        <v>973534.09</v>
      </c>
      <c r="C20" s="2">
        <v>6798</v>
      </c>
    </row>
    <row r="21" spans="1:3" x14ac:dyDescent="0.25">
      <c r="A21" s="2" t="s">
        <v>19</v>
      </c>
      <c r="B21" s="4">
        <v>977544.69</v>
      </c>
      <c r="C21" s="2">
        <v>6749</v>
      </c>
    </row>
    <row r="22" spans="1:3" x14ac:dyDescent="0.25">
      <c r="A22" s="2" t="s">
        <v>20</v>
      </c>
      <c r="B22" s="4">
        <v>856077.86</v>
      </c>
      <c r="C22" s="2">
        <v>6099</v>
      </c>
    </row>
    <row r="23" spans="1:3" x14ac:dyDescent="0.25">
      <c r="A23" s="2" t="s">
        <v>21</v>
      </c>
      <c r="B23" s="4">
        <v>867953.46</v>
      </c>
      <c r="C23" s="2">
        <v>6159</v>
      </c>
    </row>
    <row r="24" spans="1:3" x14ac:dyDescent="0.25">
      <c r="A24" s="2" t="s">
        <v>22</v>
      </c>
      <c r="B24" s="4">
        <v>838576.64000000001</v>
      </c>
      <c r="C24" s="2">
        <v>6351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3BBC-5AC7-4E66-A450-A9FB0A159B10}">
  <dimension ref="A1:B11"/>
  <sheetViews>
    <sheetView workbookViewId="0"/>
  </sheetViews>
  <sheetFormatPr defaultRowHeight="15" x14ac:dyDescent="0.25"/>
  <cols>
    <col min="1" max="1" width="25.5703125" bestFit="1" customWidth="1"/>
    <col min="2" max="2" width="16" style="5" bestFit="1" customWidth="1"/>
  </cols>
  <sheetData>
    <row r="1" spans="1:2" x14ac:dyDescent="0.25">
      <c r="A1" s="1" t="s">
        <v>26</v>
      </c>
      <c r="B1" s="3" t="s">
        <v>24</v>
      </c>
    </row>
    <row r="2" spans="1:2" x14ac:dyDescent="0.25">
      <c r="A2" s="2" t="s">
        <v>59</v>
      </c>
      <c r="B2" s="4">
        <v>1258681.3400000001</v>
      </c>
    </row>
    <row r="3" spans="1:2" x14ac:dyDescent="0.25">
      <c r="A3" s="2" t="s">
        <v>60</v>
      </c>
      <c r="B3" s="4">
        <v>1205005.68</v>
      </c>
    </row>
    <row r="4" spans="1:2" x14ac:dyDescent="0.25">
      <c r="A4" s="2" t="s">
        <v>61</v>
      </c>
      <c r="B4" s="4">
        <v>1036988.68</v>
      </c>
    </row>
    <row r="5" spans="1:2" x14ac:dyDescent="0.25">
      <c r="A5" s="2" t="s">
        <v>62</v>
      </c>
      <c r="B5" s="4">
        <v>988048.97</v>
      </c>
    </row>
    <row r="6" spans="1:2" x14ac:dyDescent="0.25">
      <c r="A6" s="2" t="s">
        <v>63</v>
      </c>
      <c r="B6" s="4">
        <v>911954.32</v>
      </c>
    </row>
    <row r="7" spans="1:2" x14ac:dyDescent="0.25">
      <c r="A7" s="2" t="s">
        <v>64</v>
      </c>
      <c r="B7" s="4">
        <v>729762.49</v>
      </c>
    </row>
    <row r="8" spans="1:2" x14ac:dyDescent="0.25">
      <c r="A8" s="2" t="s">
        <v>65</v>
      </c>
      <c r="B8" s="4">
        <v>635290.85</v>
      </c>
    </row>
    <row r="9" spans="1:2" x14ac:dyDescent="0.25">
      <c r="A9" s="2" t="s">
        <v>66</v>
      </c>
      <c r="B9" s="4">
        <v>632248.66</v>
      </c>
    </row>
    <row r="10" spans="1:2" x14ac:dyDescent="0.25">
      <c r="A10" s="2" t="s">
        <v>67</v>
      </c>
      <c r="B10" s="4">
        <v>592720.11</v>
      </c>
    </row>
    <row r="11" spans="1:2" x14ac:dyDescent="0.25">
      <c r="A11" s="2" t="s">
        <v>68</v>
      </c>
      <c r="B11" s="4">
        <v>485256.46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5217-3320-45D4-8112-F230A3D491F2}">
  <dimension ref="A1:E3"/>
  <sheetViews>
    <sheetView workbookViewId="0"/>
  </sheetViews>
  <sheetFormatPr defaultRowHeight="15" x14ac:dyDescent="0.25"/>
  <cols>
    <col min="1" max="1" width="9" bestFit="1" customWidth="1"/>
    <col min="2" max="2" width="6.85546875" bestFit="1" customWidth="1"/>
    <col min="3" max="3" width="16.85546875" bestFit="1" customWidth="1"/>
  </cols>
  <sheetData>
    <row r="1" spans="1:5" x14ac:dyDescent="0.25">
      <c r="A1" s="1" t="s">
        <v>27</v>
      </c>
      <c r="B1" s="1" t="s">
        <v>25</v>
      </c>
      <c r="C1" s="1" t="s">
        <v>28</v>
      </c>
      <c r="E1" s="17" t="s">
        <v>83</v>
      </c>
    </row>
    <row r="2" spans="1:5" x14ac:dyDescent="0.25">
      <c r="A2" s="2" t="s">
        <v>29</v>
      </c>
      <c r="B2" s="2">
        <v>6381</v>
      </c>
      <c r="C2" s="2">
        <v>2.27</v>
      </c>
      <c r="E2" s="14">
        <f>B2/(B2+B3)</f>
        <v>6.6590833194189347E-2</v>
      </c>
    </row>
    <row r="3" spans="1:5" x14ac:dyDescent="0.25">
      <c r="A3" s="2" t="s">
        <v>30</v>
      </c>
      <c r="B3" s="2">
        <v>89443</v>
      </c>
      <c r="C3" s="2">
        <v>4.29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7372-6F42-45DB-88FF-D8C9AD04BF5E}">
  <dimension ref="A1:E28"/>
  <sheetViews>
    <sheetView workbookViewId="0"/>
  </sheetViews>
  <sheetFormatPr defaultRowHeight="15" x14ac:dyDescent="0.25"/>
  <cols>
    <col min="1" max="1" width="15.140625" bestFit="1" customWidth="1"/>
    <col min="2" max="2" width="18.42578125" style="8" bestFit="1" customWidth="1"/>
    <col min="3" max="3" width="6.85546875" bestFit="1" customWidth="1"/>
  </cols>
  <sheetData>
    <row r="1" spans="1:5" x14ac:dyDescent="0.25">
      <c r="A1" s="1" t="s">
        <v>31</v>
      </c>
      <c r="B1" s="6" t="s">
        <v>24</v>
      </c>
      <c r="C1" s="1" t="s">
        <v>25</v>
      </c>
      <c r="E1" s="16" t="s">
        <v>86</v>
      </c>
    </row>
    <row r="2" spans="1:5" x14ac:dyDescent="0.25">
      <c r="A2" s="2" t="s">
        <v>32</v>
      </c>
      <c r="B2" s="7">
        <v>5067633.16</v>
      </c>
      <c r="C2" s="2">
        <v>40501</v>
      </c>
      <c r="E2" s="15">
        <f>B2/SUM(B2:B28)</f>
        <v>0.38328736409735031</v>
      </c>
    </row>
    <row r="3" spans="1:5" x14ac:dyDescent="0.25">
      <c r="A3" s="2" t="s">
        <v>33</v>
      </c>
      <c r="B3" s="7">
        <v>1759651.13</v>
      </c>
      <c r="C3" s="2">
        <v>12350</v>
      </c>
    </row>
    <row r="4" spans="1:5" x14ac:dyDescent="0.25">
      <c r="A4" s="2" t="s">
        <v>34</v>
      </c>
      <c r="B4" s="7">
        <v>1552481.83</v>
      </c>
      <c r="C4" s="2">
        <v>11354</v>
      </c>
    </row>
    <row r="5" spans="1:5" x14ac:dyDescent="0.25">
      <c r="A5" s="2" t="s">
        <v>35</v>
      </c>
      <c r="B5" s="7">
        <v>728897.47</v>
      </c>
      <c r="C5" s="2">
        <v>5345</v>
      </c>
      <c r="E5" s="16" t="s">
        <v>87</v>
      </c>
    </row>
    <row r="6" spans="1:5" x14ac:dyDescent="0.25">
      <c r="A6" s="2" t="s">
        <v>36</v>
      </c>
      <c r="B6" s="7">
        <v>666063.51</v>
      </c>
      <c r="C6" s="2">
        <v>4923</v>
      </c>
      <c r="E6" s="15">
        <f>SUM(B2:B4)/SUM(B2:B28)</f>
        <v>0.63379853404524655</v>
      </c>
    </row>
    <row r="7" spans="1:5" x14ac:dyDescent="0.25">
      <c r="A7" s="2" t="s">
        <v>37</v>
      </c>
      <c r="B7" s="7">
        <v>507012.13</v>
      </c>
      <c r="C7" s="2">
        <v>3546</v>
      </c>
    </row>
    <row r="8" spans="1:5" x14ac:dyDescent="0.25">
      <c r="A8" s="2" t="s">
        <v>38</v>
      </c>
      <c r="B8" s="7">
        <v>493584.14</v>
      </c>
      <c r="C8" s="2">
        <v>3256</v>
      </c>
    </row>
    <row r="9" spans="1:5" x14ac:dyDescent="0.25">
      <c r="A9" s="2" t="s">
        <v>39</v>
      </c>
      <c r="B9" s="7">
        <v>296498.40999999997</v>
      </c>
      <c r="C9" s="2">
        <v>2080</v>
      </c>
    </row>
    <row r="10" spans="1:5" x14ac:dyDescent="0.25">
      <c r="A10" s="2" t="s">
        <v>40</v>
      </c>
      <c r="B10" s="7">
        <v>282836.7</v>
      </c>
      <c r="C10" s="2">
        <v>1957</v>
      </c>
    </row>
    <row r="11" spans="1:5" x14ac:dyDescent="0.25">
      <c r="A11" s="2" t="s">
        <v>41</v>
      </c>
      <c r="B11" s="7">
        <v>268643.45</v>
      </c>
      <c r="C11" s="2">
        <v>1995</v>
      </c>
    </row>
    <row r="12" spans="1:5" x14ac:dyDescent="0.25">
      <c r="A12" s="2" t="s">
        <v>42</v>
      </c>
      <c r="B12" s="7">
        <v>251889.49</v>
      </c>
      <c r="C12" s="2">
        <v>1593</v>
      </c>
    </row>
    <row r="13" spans="1:5" x14ac:dyDescent="0.25">
      <c r="A13" s="2" t="s">
        <v>43</v>
      </c>
      <c r="B13" s="7">
        <v>219757.38</v>
      </c>
      <c r="C13" s="2">
        <v>1279</v>
      </c>
    </row>
    <row r="14" spans="1:5" x14ac:dyDescent="0.25">
      <c r="A14" s="2" t="s">
        <v>44</v>
      </c>
      <c r="B14" s="7">
        <v>174470.59</v>
      </c>
      <c r="C14" s="2">
        <v>946</v>
      </c>
    </row>
    <row r="15" spans="1:5" x14ac:dyDescent="0.25">
      <c r="A15" s="2" t="s">
        <v>45</v>
      </c>
      <c r="B15" s="7">
        <v>152191.62</v>
      </c>
      <c r="C15" s="2">
        <v>886</v>
      </c>
    </row>
    <row r="16" spans="1:5" x14ac:dyDescent="0.25">
      <c r="A16" s="2" t="s">
        <v>46</v>
      </c>
      <c r="B16" s="7">
        <v>117009.38</v>
      </c>
      <c r="C16" s="2">
        <v>717</v>
      </c>
    </row>
    <row r="17" spans="1:3" x14ac:dyDescent="0.25">
      <c r="A17" s="2" t="s">
        <v>47</v>
      </c>
      <c r="B17" s="7">
        <v>115429.97</v>
      </c>
      <c r="C17" s="2">
        <v>701</v>
      </c>
    </row>
    <row r="18" spans="1:3" x14ac:dyDescent="0.25">
      <c r="A18" s="2" t="s">
        <v>48</v>
      </c>
      <c r="B18" s="7">
        <v>112586.82</v>
      </c>
      <c r="C18" s="2">
        <v>517</v>
      </c>
    </row>
    <row r="19" spans="1:3" x14ac:dyDescent="0.25">
      <c r="A19" s="2" t="s">
        <v>49</v>
      </c>
      <c r="B19" s="7">
        <v>84721</v>
      </c>
      <c r="C19" s="2">
        <v>476</v>
      </c>
    </row>
    <row r="20" spans="1:3" x14ac:dyDescent="0.25">
      <c r="A20" s="2" t="s">
        <v>50</v>
      </c>
      <c r="B20" s="7">
        <v>82105.66</v>
      </c>
      <c r="C20" s="2">
        <v>474</v>
      </c>
    </row>
    <row r="21" spans="1:3" x14ac:dyDescent="0.25">
      <c r="A21" s="2" t="s">
        <v>51</v>
      </c>
      <c r="B21" s="7">
        <v>78855.72</v>
      </c>
      <c r="C21" s="2">
        <v>397</v>
      </c>
    </row>
    <row r="22" spans="1:3" x14ac:dyDescent="0.25">
      <c r="A22" s="2" t="s">
        <v>52</v>
      </c>
      <c r="B22" s="7">
        <v>56574.19</v>
      </c>
      <c r="C22" s="2">
        <v>335</v>
      </c>
    </row>
    <row r="23" spans="1:3" x14ac:dyDescent="0.25">
      <c r="A23" s="2" t="s">
        <v>53</v>
      </c>
      <c r="B23" s="7">
        <v>48402.51</v>
      </c>
      <c r="C23" s="2">
        <v>274</v>
      </c>
    </row>
    <row r="24" spans="1:3" x14ac:dyDescent="0.25">
      <c r="A24" s="2" t="s">
        <v>54</v>
      </c>
      <c r="B24" s="7">
        <v>45682.76</v>
      </c>
      <c r="C24" s="2">
        <v>243</v>
      </c>
    </row>
    <row r="25" spans="1:3" x14ac:dyDescent="0.25">
      <c r="A25" s="2" t="s">
        <v>55</v>
      </c>
      <c r="B25" s="7">
        <v>22155.84</v>
      </c>
      <c r="C25" s="2">
        <v>145</v>
      </c>
    </row>
    <row r="26" spans="1:3" x14ac:dyDescent="0.25">
      <c r="A26" s="2" t="s">
        <v>56</v>
      </c>
      <c r="B26" s="7">
        <v>15930.97</v>
      </c>
      <c r="C26" s="2">
        <v>80</v>
      </c>
    </row>
    <row r="27" spans="1:3" x14ac:dyDescent="0.25">
      <c r="A27" s="2" t="s">
        <v>57</v>
      </c>
      <c r="B27" s="7">
        <v>13374.81</v>
      </c>
      <c r="C27" s="2">
        <v>67</v>
      </c>
    </row>
    <row r="28" spans="1:3" x14ac:dyDescent="0.25">
      <c r="A28" s="2" t="s">
        <v>58</v>
      </c>
      <c r="B28" s="7">
        <v>7057.47</v>
      </c>
      <c r="C28" s="2">
        <v>41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Insights</vt:lpstr>
      <vt:lpstr>Monthly revenue over time</vt:lpstr>
      <vt:lpstr>Top 10 categories by revenue</vt:lpstr>
      <vt:lpstr>Late deliveries vs review score</vt:lpstr>
      <vt:lpstr>Revenue by customer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Rosales</dc:creator>
  <cp:lastModifiedBy>Josh Rosales</cp:lastModifiedBy>
  <dcterms:created xsi:type="dcterms:W3CDTF">2026-10-23T02:07:00Z</dcterms:created>
  <dcterms:modified xsi:type="dcterms:W3CDTF">2026-10-24T02:13:21Z</dcterms:modified>
</cp:coreProperties>
</file>